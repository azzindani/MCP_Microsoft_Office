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Clustering" sheetId="4" state="visible" r:id="rId4"/>
    <sheet xmlns:r="http://schemas.openxmlformats.org/officeDocument/2006/relationships" name="Math_Formulas" sheetId="5" state="visible" r:id="rId5"/>
  </sheets>
  <definedNames>
    <definedName name="CPC_Result">'Math_Formulas'!D2</definedName>
    <definedName name="_xlnm._FilterDatabase" localSheetId="1" hidden="1">'Model_Comparison'!$A$1:$E$9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Regression R²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'Model_Comparison'!D6</f>
            </strRef>
          </tx>
          <spPr>
            <a:ln xmlns:a="http://schemas.openxmlformats.org/drawingml/2006/main">
              <a:prstDash val="solid"/>
            </a:ln>
          </spPr>
          <val>
            <numRef>
              <f>'Model_Comparison'!$D$7:$D$8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Ad Campaign — ML &amp; Advanced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Notes</t>
        </is>
      </c>
    </row>
    <row r="2">
      <c r="A2" t="inlineStr">
        <is>
          <t>Classification (platform)</t>
        </is>
      </c>
      <c r="B2" t="inlineStr">
        <is>
          <t>Random Forest</t>
        </is>
      </c>
      <c r="C2" t="inlineStr">
        <is>
          <t>Accuracy</t>
        </is>
      </c>
      <c r="D2" t="n">
        <v>1</v>
      </c>
      <c r="E2" t="inlineStr">
        <is>
          <t>100% — see leakage caveat</t>
        </is>
      </c>
    </row>
    <row r="3">
      <c r="A3" t="inlineStr">
        <is>
          <t>Classification (platform)</t>
        </is>
      </c>
      <c r="B3" t="inlineStr">
        <is>
          <t>Random Forest</t>
        </is>
      </c>
      <c r="C3" t="inlineStr">
        <is>
          <t>F1 (weighted)</t>
        </is>
      </c>
      <c r="D3" t="n">
        <v>1</v>
      </c>
      <c r="E3" t="inlineStr">
        <is>
          <t>100% — see leakage caveat</t>
        </is>
      </c>
    </row>
    <row r="4">
      <c r="A4" t="inlineStr">
        <is>
          <t>Classification (platform)</t>
        </is>
      </c>
      <c r="B4" t="inlineStr">
        <is>
          <t>Random Forest</t>
        </is>
      </c>
      <c r="C4" t="inlineStr">
        <is>
          <t>AUC-ROC</t>
        </is>
      </c>
      <c r="D4" t="n">
        <v>1</v>
      </c>
      <c r="E4" t="inlineStr">
        <is>
          <t>100% — see leakage caveat</t>
        </is>
      </c>
    </row>
    <row r="5">
      <c r="A5" t="inlineStr">
        <is>
          <t>Classification (platform)</t>
        </is>
      </c>
      <c r="B5" t="inlineStr">
        <is>
          <t>Random Forest (5-fold CV)</t>
        </is>
      </c>
      <c r="C5" t="inlineStr">
        <is>
          <t>Accuracy (mean)</t>
        </is>
      </c>
      <c r="D5" t="n">
        <v>1</v>
      </c>
      <c r="E5" t="inlineStr">
        <is>
          <t>std=0.000 across folds</t>
        </is>
      </c>
    </row>
    <row r="6">
      <c r="A6" t="inlineStr">
        <is>
          <t>Regression (clicks)</t>
        </is>
      </c>
      <c r="B6" t="inlineStr">
        <is>
          <t>Linear Regression</t>
        </is>
      </c>
      <c r="C6" t="inlineStr">
        <is>
          <t>R-squared</t>
        </is>
      </c>
      <c r="D6" t="n">
        <v>0.9435</v>
      </c>
      <c r="E6" t="inlineStr">
        <is>
          <t>held-out comparison</t>
        </is>
      </c>
    </row>
    <row r="7">
      <c r="A7" t="inlineStr">
        <is>
          <t>Regression (clicks)</t>
        </is>
      </c>
      <c r="B7" t="inlineStr">
        <is>
          <t>Decision Tree</t>
        </is>
      </c>
      <c r="C7" t="inlineStr">
        <is>
          <t>R-squared</t>
        </is>
      </c>
      <c r="D7" t="n">
        <v>0.9788</v>
      </c>
      <c r="E7" t="inlineStr">
        <is>
          <t>held-out comparison</t>
        </is>
      </c>
    </row>
    <row r="8">
      <c r="A8" t="inlineStr">
        <is>
          <t>Regression (clicks)</t>
        </is>
      </c>
      <c r="B8" t="inlineStr">
        <is>
          <t>Random Forest</t>
        </is>
      </c>
      <c r="C8" t="inlineStr">
        <is>
          <t>R-squared</t>
        </is>
      </c>
      <c r="D8" t="n">
        <v>0.986</v>
      </c>
      <c r="E8" t="inlineStr">
        <is>
          <t>held-out comparison, best of 3</t>
        </is>
      </c>
    </row>
    <row r="9">
      <c r="A9" t="inlineStr">
        <is>
          <t>Regression (clicks)</t>
        </is>
      </c>
      <c r="B9" t="inlineStr">
        <is>
          <t>Random Forest (tuned)</t>
        </is>
      </c>
      <c r="C9" t="inlineStr">
        <is>
          <t>R-squared (CV)</t>
        </is>
      </c>
      <c r="D9" t="n">
        <v>0.9841</v>
      </c>
      <c r="E9" t="inlineStr">
        <is>
          <t>n_estimators=50, max_depth=None</t>
        </is>
      </c>
    </row>
    <row r="10">
      <c r="A10" t="inlineStr">
        <is>
          <t>Regression (clicks)</t>
        </is>
      </c>
      <c r="B10" t="inlineStr">
        <is>
          <t>Random Forest</t>
        </is>
      </c>
      <c r="C10" t="inlineStr">
        <is>
          <t>RMSE (test set)</t>
        </is>
      </c>
      <c r="D10" t="n">
        <v>5.4447</v>
      </c>
      <c r="E10" t="inlineStr">
        <is>
          <t>evaluate_model on unseen 20% split</t>
        </is>
      </c>
    </row>
    <row r="11">
      <c r="C11" t="inlineStr">
        <is>
          <t>Avg R² (3 regression models)</t>
        </is>
      </c>
      <c r="D11">
        <f>AVERAGE(D6:D8)</f>
        <v/>
      </c>
    </row>
    <row r="14">
      <c r="A14" t="inlineStr">
        <is>
          <t>Task</t>
        </is>
      </c>
      <c r="B14" t="inlineStr">
        <is>
          <t>Random Forest</t>
        </is>
      </c>
      <c r="C14" t="inlineStr">
        <is>
          <t>Random Forest (5-fold CV)</t>
        </is>
      </c>
      <c r="D14" t="inlineStr">
        <is>
          <t>Linear Regression</t>
        </is>
      </c>
      <c r="E14" t="inlineStr">
        <is>
          <t>Decision Tree</t>
        </is>
      </c>
      <c r="F14" t="inlineStr">
        <is>
          <t>Random Forest (tuned)</t>
        </is>
      </c>
    </row>
    <row r="15">
      <c r="A15" t="inlineStr">
        <is>
          <t>Classification (platform)</t>
        </is>
      </c>
      <c r="B15" t="n">
        <v>3</v>
      </c>
      <c r="C15" t="n">
        <v>1</v>
      </c>
      <c r="D15" t="n">
        <v>0</v>
      </c>
      <c r="E15" t="n">
        <v>0</v>
      </c>
      <c r="F15" t="n">
        <v>0</v>
      </c>
    </row>
    <row r="16">
      <c r="A16" t="inlineStr">
        <is>
          <t>Regression (clicks)</t>
        </is>
      </c>
      <c r="B16" t="n">
        <v>0.986</v>
      </c>
      <c r="C16" t="n">
        <v>0</v>
      </c>
      <c r="D16" t="n">
        <v>0.9435</v>
      </c>
      <c r="E16" t="n">
        <v>0.9788</v>
      </c>
      <c r="F16" t="n">
        <v>0.9841</v>
      </c>
    </row>
  </sheetData>
  <autoFilter ref="A1:E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Importance</t>
        </is>
      </c>
      <c r="C1" s="2" t="inlineStr">
        <is>
          <t>Rank</t>
        </is>
      </c>
    </row>
    <row r="2">
      <c r="A2" t="inlineStr">
        <is>
          <t>communication_medium</t>
        </is>
      </c>
      <c r="B2" t="n">
        <v>0.1858</v>
      </c>
      <c r="C2" t="n">
        <v>1</v>
      </c>
    </row>
    <row r="3">
      <c r="A3" t="inlineStr">
        <is>
          <t>audience_type</t>
        </is>
      </c>
      <c r="B3" t="n">
        <v>0.1741</v>
      </c>
      <c r="C3" t="n">
        <v>2</v>
      </c>
    </row>
    <row r="4">
      <c r="A4" t="inlineStr">
        <is>
          <t>device</t>
        </is>
      </c>
      <c r="B4" t="n">
        <v>0.1677</v>
      </c>
      <c r="C4" t="n">
        <v>3</v>
      </c>
    </row>
    <row r="5">
      <c r="A5" t="inlineStr">
        <is>
          <t>creative_name</t>
        </is>
      </c>
      <c r="B5" t="n">
        <v>0.1675</v>
      </c>
      <c r="C5" t="n">
        <v>4</v>
      </c>
    </row>
    <row r="6">
      <c r="A6" t="inlineStr">
        <is>
          <t>campaign_type</t>
        </is>
      </c>
      <c r="B6" t="n">
        <v>0.1175</v>
      </c>
      <c r="C6" t="n">
        <v>5</v>
      </c>
    </row>
    <row r="7">
      <c r="A7" t="inlineStr">
        <is>
          <t>creative_type</t>
        </is>
      </c>
      <c r="B7" t="n">
        <v>0.1136</v>
      </c>
      <c r="C7" t="n">
        <v>6</v>
      </c>
    </row>
    <row r="8">
      <c r="A8" t="inlineStr">
        <is>
          <t>link_clicks</t>
        </is>
      </c>
      <c r="B8" t="n">
        <v>0.0593</v>
      </c>
      <c r="C8" t="n">
        <v>7</v>
      </c>
    </row>
    <row r="9">
      <c r="A9" t="inlineStr">
        <is>
          <t>subchannel</t>
        </is>
      </c>
      <c r="B9" t="n">
        <v>0.0065</v>
      </c>
      <c r="C9" t="n">
        <v>8</v>
      </c>
    </row>
    <row r="10">
      <c r="A10" t="inlineStr">
        <is>
          <t>impressions</t>
        </is>
      </c>
      <c r="B10" t="n">
        <v>0.0054</v>
      </c>
      <c r="C10" t="n">
        <v>9</v>
      </c>
    </row>
    <row r="11">
      <c r="A11" t="inlineStr">
        <is>
          <t>age</t>
        </is>
      </c>
      <c r="B11" t="n">
        <v>0.0011</v>
      </c>
      <c r="C11" t="n">
        <v>10</v>
      </c>
    </row>
    <row r="12">
      <c r="B12">
        <f>SUM(B2:B11)</f>
        <v/>
      </c>
    </row>
  </sheetData>
  <conditionalFormatting sqref="B2:B11">
    <cfRule type="cellIs" priority="1" operator="greaterThan" dxfId="0">
      <formula>0.15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Analysis</t>
        </is>
      </c>
      <c r="B1" s="2" t="inlineStr">
        <is>
          <t>K</t>
        </is>
      </c>
      <c r="C1" s="2" t="inlineStr">
        <is>
          <t>Silhouette Score</t>
        </is>
      </c>
      <c r="D1" s="2" t="inlineStr">
        <is>
          <t>Cluster Sizes</t>
        </is>
      </c>
      <c r="E1" s="2" t="inlineStr">
        <is>
          <t>Notes</t>
        </is>
      </c>
    </row>
    <row r="2">
      <c r="A2" t="inlineStr">
        <is>
          <t>Elbow/silhouette scan</t>
        </is>
      </c>
      <c r="B2" t="n">
        <v>2</v>
      </c>
      <c r="C2" t="n">
        <v>0.9752999999999999</v>
      </c>
      <c r="D2" t="inlineStr">
        <is>
          <t>-</t>
        </is>
      </c>
      <c r="E2" t="inlineStr">
        <is>
          <t>Best K by silhouette</t>
        </is>
      </c>
    </row>
    <row r="3">
      <c r="A3" t="inlineStr">
        <is>
          <t>Elbow/silhouette scan</t>
        </is>
      </c>
      <c r="B3" t="n">
        <v>3</v>
      </c>
      <c r="C3" t="n">
        <v>0.9105</v>
      </c>
      <c r="D3" t="inlineStr">
        <is>
          <t>-</t>
        </is>
      </c>
    </row>
    <row r="4">
      <c r="A4" t="inlineStr">
        <is>
          <t>Elbow/silhouette scan</t>
        </is>
      </c>
      <c r="B4" t="n">
        <v>4</v>
      </c>
      <c r="C4" t="n">
        <v>0.8406</v>
      </c>
      <c r="D4" t="inlineStr">
        <is>
          <t>0:831, 1:38, 2:15684, 3:76</t>
        </is>
      </c>
      <c r="E4" t="inlineStr">
        <is>
          <t>Used for cluster report (finer segments)</t>
        </is>
      </c>
    </row>
    <row r="5">
      <c r="A5" t="inlineStr">
        <is>
          <t>Elbow/silhouette scan</t>
        </is>
      </c>
      <c r="B5" t="n">
        <v>5</v>
      </c>
      <c r="C5" t="n">
        <v>0.7876</v>
      </c>
      <c r="D5" t="inlineStr">
        <is>
          <t>-</t>
        </is>
      </c>
    </row>
    <row r="6">
      <c r="A6" t="inlineStr">
        <is>
          <t>Elbow/silhouette scan</t>
        </is>
      </c>
      <c r="B6" t="n">
        <v>6</v>
      </c>
      <c r="C6" t="n">
        <v>0.7726</v>
      </c>
      <c r="D6" t="inlineStr">
        <is>
          <t>-</t>
        </is>
      </c>
    </row>
    <row r="7">
      <c r="A7" t="inlineStr">
        <is>
          <t>Anomaly detection (isolation forest)</t>
        </is>
      </c>
      <c r="B7" t="inlineStr">
        <is>
          <t>-</t>
        </is>
      </c>
      <c r="C7" t="inlineStr">
        <is>
          <t>-</t>
        </is>
      </c>
      <c r="D7" t="inlineStr">
        <is>
          <t>832 rows (5.0%)</t>
        </is>
      </c>
      <c r="E7" t="inlineStr">
        <is>
          <t>contamination=0.05</t>
        </is>
      </c>
    </row>
    <row r="8">
      <c r="A8" t="inlineStr">
        <is>
          <t>PCA (2 components)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Variance explained: 88.76% + 8.92% = 97.68%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Formula</t>
        </is>
      </c>
      <c r="C1" s="2" t="inlineStr">
        <is>
          <t>Inputs</t>
        </is>
      </c>
      <c r="D1" s="2" t="inlineStr">
        <is>
          <t>Result</t>
        </is>
      </c>
    </row>
    <row r="2">
      <c r="A2" t="inlineStr">
        <is>
          <t>CPC (cost per click)</t>
        </is>
      </c>
      <c r="B2" t="inlineStr">
        <is>
          <t>spend / clicks</t>
        </is>
      </c>
      <c r="C2" t="inlineStr">
        <is>
          <t>$2,503,118.77 / 201,634 clicks</t>
        </is>
      </c>
      <c r="D2" t="n">
        <v>12.4142</v>
      </c>
    </row>
    <row r="3">
      <c r="A3" t="inlineStr">
        <is>
          <t>CPM (cost per 1000 impressions)</t>
        </is>
      </c>
      <c r="B3" t="inlineStr">
        <is>
          <t>spend / impressions * 1000</t>
        </is>
      </c>
      <c r="C3" t="inlineStr">
        <is>
          <t>$2,503,118.77 / 4,847,505 impr.</t>
        </is>
      </c>
      <c r="D3" t="n">
        <v>516.3726</v>
      </c>
    </row>
    <row r="4">
      <c r="A4" t="inlineStr">
        <is>
          <t>Marginal clicks per $ spent</t>
        </is>
      </c>
      <c r="B4" t="inlineStr">
        <is>
          <t>d/d(spend) of regression fit</t>
        </is>
      </c>
      <c r="C4" t="inlineStr">
        <is>
          <t>0.032248*spend + 0.012061*impr.</t>
        </is>
      </c>
      <c r="D4" t="n">
        <v>0.032248</v>
      </c>
    </row>
    <row r="5">
      <c r="A5" t="inlineStr">
        <is>
          <t>Spend needed for 1,000 clicks</t>
        </is>
      </c>
      <c r="B5" t="inlineStr">
        <is>
          <t>solve 0.032248*x = 1000</t>
        </is>
      </c>
      <c r="C5" t="inlineStr">
        <is>
          <t>holding impressions term fixed</t>
        </is>
      </c>
      <c r="D5" t="n">
        <v>31009.675</v>
      </c>
    </row>
    <row r="6">
      <c r="A6" t="inlineStr">
        <is>
          <t>Clicks attributable to spend alone</t>
        </is>
      </c>
      <c r="B6" t="inlineStr">
        <is>
          <t>integral of marginal rate over total spend</t>
        </is>
      </c>
      <c r="C6" t="inlineStr">
        <is>
          <t>0 to $2,503,118.77</t>
        </is>
      </c>
      <c r="D6" t="n">
        <v>80720.5741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2026-08-12T12:42:15Z</dcterms:created>
  <dcterms:modified xmlns:dcterms="http://purl.org/dc/terms/" xmlns:xsi="http://www.w3.org/2001/XMLSchema-instance" xsi:type="dcterms:W3CDTF">2026-08-12T12:44:29Z</dcterms:modified>
</cp:coreProperties>
</file>